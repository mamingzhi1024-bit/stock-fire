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spcadmin\Desktop\"/>
    </mc:Choice>
  </mc:AlternateContent>
  <xr:revisionPtr revIDLastSave="0" documentId="13_ncr:1_{F17D3250-E418-49E2-8D35-E1CA79B7BE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股息目标测算表（年度20W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6" i="1" l="1"/>
  <c r="I26" i="1"/>
  <c r="H26" i="1"/>
  <c r="J25" i="1"/>
  <c r="I25" i="1"/>
  <c r="H25" i="1"/>
  <c r="J17" i="1"/>
  <c r="I17" i="1"/>
  <c r="H17" i="1"/>
  <c r="J10" i="1"/>
  <c r="I10" i="1"/>
  <c r="H10" i="1"/>
  <c r="J8" i="1"/>
  <c r="J33" i="1" s="1"/>
  <c r="I8" i="1"/>
  <c r="H8" i="1"/>
  <c r="H33" i="1" s="1"/>
  <c r="I33" i="1" l="1"/>
  <c r="K33" i="1" s="1"/>
</calcChain>
</file>

<file path=xl/sharedStrings.xml><?xml version="1.0" encoding="utf-8"?>
<sst xmlns="http://schemas.openxmlformats.org/spreadsheetml/2006/main" count="64" uniqueCount="49">
  <si>
    <t>板块</t>
  </si>
  <si>
    <t>股名</t>
  </si>
  <si>
    <t>近一年分红/股(元)</t>
  </si>
  <si>
    <t>股数</t>
  </si>
  <si>
    <t>成本元/股</t>
  </si>
  <si>
    <t>当前市值/元</t>
  </si>
  <si>
    <t>持仓总成本(元)</t>
  </si>
  <si>
    <t>近一年预计分红(元)</t>
  </si>
  <si>
    <t>备注</t>
  </si>
  <si>
    <t>20万目标完成度</t>
  </si>
  <si>
    <t>煤炭</t>
  </si>
  <si>
    <t>中国神华</t>
  </si>
  <si>
    <t>兖矿能源</t>
  </si>
  <si>
    <t>陕西煤业</t>
  </si>
  <si>
    <t>石油</t>
  </si>
  <si>
    <t>中国海油</t>
  </si>
  <si>
    <t>中国石油</t>
  </si>
  <si>
    <t>中国石化</t>
  </si>
  <si>
    <t>金属</t>
  </si>
  <si>
    <t>南山铝业</t>
  </si>
  <si>
    <t>银行</t>
  </si>
  <si>
    <t>工商银行</t>
  </si>
  <si>
    <t>江苏银行</t>
  </si>
  <si>
    <t>农业银行</t>
  </si>
  <si>
    <t>建设银行</t>
  </si>
  <si>
    <t>交通银行</t>
  </si>
  <si>
    <t>邮储银行</t>
  </si>
  <si>
    <t>招商银行</t>
  </si>
  <si>
    <t>白酒</t>
  </si>
  <si>
    <t>茅台</t>
  </si>
  <si>
    <t>五粮液</t>
  </si>
  <si>
    <t>泸州老窖</t>
  </si>
  <si>
    <t>山西汾酒</t>
  </si>
  <si>
    <t>保险</t>
  </si>
  <si>
    <t>中国平安</t>
  </si>
  <si>
    <t>医药</t>
  </si>
  <si>
    <t>云南白药</t>
  </si>
  <si>
    <t>公共运输</t>
  </si>
  <si>
    <t>大秦铁路</t>
  </si>
  <si>
    <t>中远海控</t>
  </si>
  <si>
    <t>电力</t>
  </si>
  <si>
    <t>长江电力</t>
  </si>
  <si>
    <t>中国核电</t>
  </si>
  <si>
    <t>1.12除权</t>
  </si>
  <si>
    <t>家电</t>
  </si>
  <si>
    <t>格力电器</t>
  </si>
  <si>
    <t>汇总</t>
  </si>
  <si>
    <t>收盘价(元/股)</t>
    <phoneticPr fontId="4" type="noConversion"/>
  </si>
  <si>
    <t>近一年股息率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</si>
</sst>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E63946"/>
        <bgColor rgb="FFE63946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1"/>
    <xf numFmtId="10" fontId="2" fillId="0" borderId="1">
      <alignment horizontal="center"/>
    </xf>
    <xf numFmtId="1" fontId="2" fillId="0" borderId="1">
      <alignment horizontal="center"/>
    </xf>
    <xf numFmtId="2" fontId="2" fillId="0" borderId="1">
      <alignment horizontal="right"/>
    </xf>
    <xf numFmtId="0" fontId="2" fillId="0" borderId="1">
      <alignment horizontal="left" wrapText="1"/>
    </xf>
  </cellStyleXfs>
  <cellXfs count="17">
    <xf numFmtId="0" fontId="0" fillId="0" borderId="0" xfId="0" applyBorder="1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2" fontId="2" fillId="0" borderId="2" xfId="3" applyBorder="1" applyAlignment="1">
      <alignment horizontal="right"/>
    </xf>
    <xf numFmtId="10" fontId="2" fillId="0" borderId="2" xfId="1" applyBorder="1" applyAlignment="1">
      <alignment horizontal="center"/>
    </xf>
    <xf numFmtId="1" fontId="2" fillId="0" borderId="2" xfId="2" applyBorder="1" applyAlignment="1">
      <alignment horizontal="center"/>
    </xf>
    <xf numFmtId="0" fontId="2" fillId="0" borderId="2" xfId="4" applyBorder="1" applyAlignment="1">
      <alignment horizontal="left" wrapText="1"/>
    </xf>
    <xf numFmtId="0" fontId="3" fillId="0" borderId="2" xfId="0" applyFont="1" applyBorder="1"/>
    <xf numFmtId="2" fontId="3" fillId="0" borderId="2" xfId="3" applyFont="1" applyBorder="1" applyAlignment="1">
      <alignment horizontal="right"/>
    </xf>
    <xf numFmtId="10" fontId="3" fillId="0" borderId="2" xfId="1" applyFont="1" applyBorder="1" applyAlignment="1">
      <alignment horizontal="center"/>
    </xf>
    <xf numFmtId="0" fontId="0" fillId="3" borderId="2" xfId="0" applyFill="1" applyBorder="1"/>
    <xf numFmtId="2" fontId="2" fillId="3" borderId="2" xfId="3" applyFill="1" applyBorder="1" applyAlignment="1">
      <alignment horizontal="right"/>
    </xf>
    <xf numFmtId="10" fontId="2" fillId="3" borderId="2" xfId="1" applyFill="1" applyBorder="1" applyAlignment="1">
      <alignment horizontal="center"/>
    </xf>
    <xf numFmtId="1" fontId="2" fillId="3" borderId="2" xfId="2" applyFill="1" applyBorder="1" applyAlignment="1">
      <alignment horizontal="center"/>
    </xf>
    <xf numFmtId="0" fontId="2" fillId="3" borderId="2" xfId="4" applyFill="1" applyBorder="1" applyAlignment="1">
      <alignment horizontal="left" wrapText="1"/>
    </xf>
    <xf numFmtId="0" fontId="0" fillId="0" borderId="2" xfId="0" applyBorder="1" applyAlignment="1">
      <alignment wrapText="1"/>
    </xf>
    <xf numFmtId="0" fontId="5" fillId="2" borderId="2" xfId="0" applyFont="1" applyFill="1" applyBorder="1" applyAlignment="1">
      <alignment horizontal="center" vertical="center"/>
    </xf>
  </cellXfs>
  <cellStyles count="5">
    <cellStyle name="integer_style" xfId="2" xr:uid="{00000000-0005-0000-0000-000002000000}"/>
    <cellStyle name="note_style" xfId="4" xr:uid="{00000000-0005-0000-0000-000004000000}"/>
    <cellStyle name="number_style" xfId="3" xr:uid="{00000000-0005-0000-0000-000003000000}"/>
    <cellStyle name="percent_style" xfId="1" xr:uid="{00000000-0005-0000-0000-000001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F29" sqref="F29:F30"/>
    </sheetView>
  </sheetViews>
  <sheetFormatPr defaultRowHeight="13.5" x14ac:dyDescent="0.15"/>
  <cols>
    <col min="1" max="2" width="12" customWidth="1"/>
    <col min="3" max="3" width="19.875" customWidth="1"/>
    <col min="4" max="4" width="21.25" customWidth="1"/>
    <col min="5" max="5" width="12" customWidth="1"/>
    <col min="6" max="6" width="8" customWidth="1"/>
    <col min="7" max="7" width="10" customWidth="1"/>
    <col min="8" max="8" width="15.75" customWidth="1"/>
    <col min="9" max="9" width="22.125" customWidth="1"/>
    <col min="10" max="10" width="24.125" customWidth="1"/>
    <col min="11" max="11" width="33.25" customWidth="1"/>
    <col min="12" max="12" width="15" customWidth="1"/>
  </cols>
  <sheetData>
    <row r="1" spans="1:12" x14ac:dyDescent="0.15">
      <c r="A1" s="1" t="s">
        <v>0</v>
      </c>
      <c r="B1" s="1" t="s">
        <v>1</v>
      </c>
      <c r="C1" s="16" t="s">
        <v>47</v>
      </c>
      <c r="D1" s="1" t="s">
        <v>2</v>
      </c>
      <c r="E1" s="16" t="s">
        <v>48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15">
      <c r="A2" s="2" t="s">
        <v>10</v>
      </c>
      <c r="B2" s="2" t="s">
        <v>11</v>
      </c>
      <c r="C2" s="3">
        <v>45.83</v>
      </c>
      <c r="D2" s="3">
        <v>2.3144149999999999</v>
      </c>
      <c r="E2" s="4">
        <v>5.0500000000000003E-2</v>
      </c>
      <c r="F2" s="5"/>
      <c r="G2" s="3"/>
      <c r="H2" s="3"/>
      <c r="I2" s="3"/>
      <c r="J2" s="3"/>
      <c r="K2" s="6"/>
      <c r="L2" s="2"/>
    </row>
    <row r="3" spans="1:12" x14ac:dyDescent="0.15">
      <c r="A3" s="2" t="s">
        <v>10</v>
      </c>
      <c r="B3" s="2" t="s">
        <v>12</v>
      </c>
      <c r="C3" s="3">
        <v>19.28</v>
      </c>
      <c r="D3" s="3">
        <v>0.71914400000000001</v>
      </c>
      <c r="E3" s="4">
        <v>3.73E-2</v>
      </c>
      <c r="F3" s="5"/>
      <c r="G3" s="3"/>
      <c r="H3" s="3"/>
      <c r="I3" s="3"/>
      <c r="J3" s="3"/>
      <c r="K3" s="6"/>
      <c r="L3" s="2"/>
    </row>
    <row r="4" spans="1:12" x14ac:dyDescent="0.15">
      <c r="A4" s="2" t="s">
        <v>10</v>
      </c>
      <c r="B4" s="2" t="s">
        <v>13</v>
      </c>
      <c r="C4" s="3">
        <v>24.95</v>
      </c>
      <c r="D4" s="3">
        <v>1.2774399999999999</v>
      </c>
      <c r="E4" s="4">
        <v>5.1200000000000002E-2</v>
      </c>
      <c r="F4" s="5"/>
      <c r="G4" s="3"/>
      <c r="H4" s="3"/>
      <c r="I4" s="3"/>
      <c r="J4" s="3"/>
      <c r="K4" s="6"/>
      <c r="L4" s="2"/>
    </row>
    <row r="5" spans="1:12" x14ac:dyDescent="0.15">
      <c r="A5" s="2" t="s">
        <v>14</v>
      </c>
      <c r="B5" s="2" t="s">
        <v>15</v>
      </c>
      <c r="C5" s="3">
        <v>40.49</v>
      </c>
      <c r="D5" s="3">
        <v>1.2713859999999999</v>
      </c>
      <c r="E5" s="4">
        <v>3.1399999999999997E-2</v>
      </c>
      <c r="F5" s="5"/>
      <c r="G5" s="3"/>
      <c r="H5" s="3"/>
      <c r="I5" s="3"/>
      <c r="J5" s="3"/>
      <c r="K5" s="6"/>
      <c r="L5" s="2"/>
    </row>
    <row r="6" spans="1:12" x14ac:dyDescent="0.15">
      <c r="A6" s="2" t="s">
        <v>14</v>
      </c>
      <c r="B6" s="2" t="s">
        <v>16</v>
      </c>
      <c r="C6" s="3">
        <v>12.3</v>
      </c>
      <c r="D6" s="3">
        <v>0.46986</v>
      </c>
      <c r="E6" s="4">
        <v>3.8199999999999998E-2</v>
      </c>
      <c r="F6" s="5"/>
      <c r="G6" s="3"/>
      <c r="H6" s="3"/>
      <c r="I6" s="3"/>
      <c r="J6" s="3"/>
      <c r="K6" s="6"/>
      <c r="L6" s="2"/>
    </row>
    <row r="7" spans="1:12" x14ac:dyDescent="0.15">
      <c r="A7" s="2" t="s">
        <v>14</v>
      </c>
      <c r="B7" s="2" t="s">
        <v>17</v>
      </c>
      <c r="C7" s="3">
        <v>6.88</v>
      </c>
      <c r="D7" s="3">
        <v>0.22772800000000001</v>
      </c>
      <c r="E7" s="4">
        <v>3.3099999999999997E-2</v>
      </c>
      <c r="F7" s="5"/>
      <c r="G7" s="3"/>
      <c r="H7" s="3"/>
      <c r="I7" s="3"/>
      <c r="J7" s="3"/>
      <c r="K7" s="6"/>
      <c r="L7" s="2"/>
    </row>
    <row r="8" spans="1:12" x14ac:dyDescent="0.15">
      <c r="A8" s="10" t="s">
        <v>18</v>
      </c>
      <c r="B8" s="10" t="s">
        <v>19</v>
      </c>
      <c r="C8" s="11">
        <v>7.44</v>
      </c>
      <c r="D8" s="11">
        <v>0.38900000000000001</v>
      </c>
      <c r="E8" s="12">
        <v>2.3099999999999999E-2</v>
      </c>
      <c r="F8" s="13">
        <v>1300</v>
      </c>
      <c r="G8" s="11">
        <v>8.1</v>
      </c>
      <c r="H8" s="11">
        <f>F8*C8</f>
        <v>9672</v>
      </c>
      <c r="I8" s="11">
        <f>F8*G8</f>
        <v>10530</v>
      </c>
      <c r="J8" s="11">
        <f>F8*C8*E8</f>
        <v>223.42319999999998</v>
      </c>
      <c r="K8" s="14"/>
      <c r="L8" s="10"/>
    </row>
    <row r="9" spans="1:12" x14ac:dyDescent="0.15">
      <c r="A9" s="2" t="s">
        <v>20</v>
      </c>
      <c r="B9" s="2" t="s">
        <v>21</v>
      </c>
      <c r="C9" s="3">
        <v>7.11</v>
      </c>
      <c r="D9" s="3">
        <v>0.30573</v>
      </c>
      <c r="E9" s="4">
        <v>4.2999999999999997E-2</v>
      </c>
      <c r="F9" s="5"/>
      <c r="G9" s="3"/>
      <c r="H9" s="3"/>
      <c r="I9" s="3"/>
      <c r="J9" s="3"/>
      <c r="K9" s="6"/>
      <c r="L9" s="2"/>
    </row>
    <row r="10" spans="1:12" x14ac:dyDescent="0.15">
      <c r="A10" s="10" t="s">
        <v>20</v>
      </c>
      <c r="B10" s="10" t="s">
        <v>22</v>
      </c>
      <c r="C10" s="11">
        <v>10.55</v>
      </c>
      <c r="D10" s="11">
        <v>0.50007000000000001</v>
      </c>
      <c r="E10" s="12">
        <v>4.7399999999999998E-2</v>
      </c>
      <c r="F10" s="13">
        <v>1400</v>
      </c>
      <c r="G10" s="11">
        <v>10.23</v>
      </c>
      <c r="H10" s="11">
        <f>F10*C10</f>
        <v>14770.000000000002</v>
      </c>
      <c r="I10" s="11">
        <f>F10*G10</f>
        <v>14322</v>
      </c>
      <c r="J10" s="11">
        <f>F10*C10*E10</f>
        <v>700.09800000000007</v>
      </c>
      <c r="K10" s="14"/>
      <c r="L10" s="10"/>
    </row>
    <row r="11" spans="1:12" x14ac:dyDescent="0.15">
      <c r="A11" s="2" t="s">
        <v>20</v>
      </c>
      <c r="B11" s="2" t="s">
        <v>23</v>
      </c>
      <c r="C11" s="3">
        <v>6.7</v>
      </c>
      <c r="D11" s="3">
        <v>0.24521999999999999</v>
      </c>
      <c r="E11" s="4">
        <v>3.6600000000000001E-2</v>
      </c>
      <c r="F11" s="5"/>
      <c r="G11" s="3"/>
      <c r="H11" s="3"/>
      <c r="I11" s="3"/>
      <c r="J11" s="3"/>
      <c r="K11" s="6"/>
      <c r="L11" s="2"/>
    </row>
    <row r="12" spans="1:12" x14ac:dyDescent="0.15">
      <c r="A12" s="2" t="s">
        <v>20</v>
      </c>
      <c r="B12" s="2" t="s">
        <v>24</v>
      </c>
      <c r="C12" s="3">
        <v>8.9700000000000006</v>
      </c>
      <c r="D12" s="3">
        <v>0.40275300000000003</v>
      </c>
      <c r="E12" s="4">
        <v>4.4900000000000002E-2</v>
      </c>
      <c r="F12" s="5"/>
      <c r="G12" s="3"/>
      <c r="H12" s="3"/>
      <c r="I12" s="3"/>
      <c r="J12" s="3"/>
      <c r="K12" s="6"/>
      <c r="L12" s="2"/>
    </row>
    <row r="13" spans="1:12" x14ac:dyDescent="0.15">
      <c r="A13" s="2" t="s">
        <v>20</v>
      </c>
      <c r="B13" s="2" t="s">
        <v>25</v>
      </c>
      <c r="C13" s="3">
        <v>6.77</v>
      </c>
      <c r="D13" s="3">
        <v>0.35339399999999999</v>
      </c>
      <c r="E13" s="4">
        <v>5.2200000000000003E-2</v>
      </c>
      <c r="F13" s="5"/>
      <c r="G13" s="3"/>
      <c r="H13" s="3"/>
      <c r="I13" s="3"/>
      <c r="J13" s="3"/>
      <c r="K13" s="6"/>
      <c r="L13" s="2"/>
    </row>
    <row r="14" spans="1:12" x14ac:dyDescent="0.15">
      <c r="A14" s="2" t="s">
        <v>20</v>
      </c>
      <c r="B14" s="2" t="s">
        <v>26</v>
      </c>
      <c r="C14" s="3">
        <v>5</v>
      </c>
      <c r="D14" s="3">
        <v>0.23699999999999999</v>
      </c>
      <c r="E14" s="4">
        <v>4.7399999999999998E-2</v>
      </c>
      <c r="F14" s="5"/>
      <c r="G14" s="3"/>
      <c r="H14" s="3"/>
      <c r="I14" s="3"/>
      <c r="J14" s="3"/>
      <c r="K14" s="6"/>
      <c r="L14" s="2"/>
    </row>
    <row r="15" spans="1:12" x14ac:dyDescent="0.15">
      <c r="A15" s="2" t="s">
        <v>20</v>
      </c>
      <c r="B15" s="2" t="s">
        <v>27</v>
      </c>
      <c r="C15" s="3">
        <v>39.200000000000003</v>
      </c>
      <c r="D15" s="3">
        <v>1.9992000000000001</v>
      </c>
      <c r="E15" s="4">
        <v>5.0999999999999997E-2</v>
      </c>
      <c r="F15" s="5"/>
      <c r="G15" s="3"/>
      <c r="H15" s="3"/>
      <c r="I15" s="3"/>
      <c r="J15" s="3"/>
      <c r="K15" s="6"/>
      <c r="L15" s="2"/>
    </row>
    <row r="16" spans="1:12" x14ac:dyDescent="0.15">
      <c r="A16" s="2" t="s">
        <v>28</v>
      </c>
      <c r="B16" s="2" t="s">
        <v>29</v>
      </c>
      <c r="C16" s="3">
        <v>1402</v>
      </c>
      <c r="D16" s="3">
        <v>51.453400000000002</v>
      </c>
      <c r="E16" s="4">
        <v>3.6700000000000003E-2</v>
      </c>
      <c r="F16" s="5"/>
      <c r="G16" s="3"/>
      <c r="H16" s="3"/>
      <c r="I16" s="3"/>
      <c r="J16" s="3"/>
      <c r="K16" s="6"/>
      <c r="L16" s="2"/>
    </row>
    <row r="17" spans="1:12" x14ac:dyDescent="0.15">
      <c r="A17" s="10" t="s">
        <v>28</v>
      </c>
      <c r="B17" s="10" t="s">
        <v>30</v>
      </c>
      <c r="C17" s="11">
        <v>102.4</v>
      </c>
      <c r="D17" s="11">
        <v>5.7446400000000004</v>
      </c>
      <c r="E17" s="12">
        <v>5.6099999999999997E-2</v>
      </c>
      <c r="F17" s="13">
        <v>600</v>
      </c>
      <c r="G17" s="11">
        <v>114.8</v>
      </c>
      <c r="H17" s="11">
        <f>F17*C17</f>
        <v>61440</v>
      </c>
      <c r="I17" s="11">
        <f>F17*G17</f>
        <v>68880</v>
      </c>
      <c r="J17" s="11">
        <f>F17*C17*E17</f>
        <v>3446.7839999999997</v>
      </c>
      <c r="K17" s="14"/>
      <c r="L17" s="10"/>
    </row>
    <row r="18" spans="1:12" x14ac:dyDescent="0.15">
      <c r="A18" s="2" t="s">
        <v>28</v>
      </c>
      <c r="B18" s="2" t="s">
        <v>31</v>
      </c>
      <c r="C18" s="3">
        <v>105.98</v>
      </c>
      <c r="D18" s="3">
        <v>5.9454779999999996</v>
      </c>
      <c r="E18" s="4">
        <v>5.6099999999999997E-2</v>
      </c>
      <c r="F18" s="5"/>
      <c r="G18" s="3"/>
      <c r="H18" s="3"/>
      <c r="I18" s="3"/>
      <c r="J18" s="3"/>
      <c r="K18" s="6"/>
      <c r="L18" s="2"/>
    </row>
    <row r="19" spans="1:12" x14ac:dyDescent="0.15">
      <c r="A19" s="2" t="s">
        <v>28</v>
      </c>
      <c r="B19" s="2" t="s">
        <v>32</v>
      </c>
      <c r="C19" s="3">
        <v>160.71</v>
      </c>
      <c r="D19" s="3">
        <v>6.0587669999999996</v>
      </c>
      <c r="E19" s="4">
        <v>3.7699999999999997E-2</v>
      </c>
      <c r="F19" s="5"/>
      <c r="G19" s="3"/>
      <c r="H19" s="3"/>
      <c r="I19" s="3"/>
      <c r="J19" s="3"/>
      <c r="K19" s="6"/>
      <c r="L19" s="2"/>
    </row>
    <row r="20" spans="1:12" x14ac:dyDescent="0.15">
      <c r="A20" s="2" t="s">
        <v>33</v>
      </c>
      <c r="B20" s="2" t="s">
        <v>34</v>
      </c>
      <c r="C20" s="3">
        <v>62.67</v>
      </c>
      <c r="D20" s="3">
        <v>2.5506690000000001</v>
      </c>
      <c r="E20" s="4">
        <v>4.07E-2</v>
      </c>
      <c r="F20" s="5"/>
      <c r="G20" s="3"/>
      <c r="H20" s="3"/>
      <c r="I20" s="3"/>
      <c r="J20" s="3"/>
      <c r="K20" s="6"/>
      <c r="L20" s="2"/>
    </row>
    <row r="21" spans="1:12" x14ac:dyDescent="0.15">
      <c r="A21" s="2" t="s">
        <v>35</v>
      </c>
      <c r="B21" s="2" t="s">
        <v>36</v>
      </c>
      <c r="C21" s="3">
        <v>56.15</v>
      </c>
      <c r="D21" s="3">
        <v>2.2066949999999999</v>
      </c>
      <c r="E21" s="4">
        <v>3.9300000000000002E-2</v>
      </c>
      <c r="F21" s="5"/>
      <c r="G21" s="3"/>
      <c r="H21" s="3"/>
      <c r="I21" s="3"/>
      <c r="J21" s="3"/>
      <c r="K21" s="6"/>
      <c r="L21" s="2"/>
    </row>
    <row r="22" spans="1:12" x14ac:dyDescent="0.15">
      <c r="A22" s="2" t="s">
        <v>37</v>
      </c>
      <c r="B22" s="2" t="s">
        <v>38</v>
      </c>
      <c r="C22" s="3">
        <v>5.19</v>
      </c>
      <c r="D22" s="3">
        <v>0.220056</v>
      </c>
      <c r="E22" s="4">
        <v>4.24E-2</v>
      </c>
      <c r="F22" s="5"/>
      <c r="G22" s="3"/>
      <c r="H22" s="3"/>
      <c r="I22" s="3"/>
      <c r="J22" s="3"/>
      <c r="K22" s="6"/>
      <c r="L22" s="2"/>
    </row>
    <row r="23" spans="1:12" x14ac:dyDescent="0.15">
      <c r="A23" s="2" t="s">
        <v>37</v>
      </c>
      <c r="B23" s="2" t="s">
        <v>39</v>
      </c>
      <c r="C23" s="3">
        <v>15.79</v>
      </c>
      <c r="D23" s="3">
        <v>1.550578</v>
      </c>
      <c r="E23" s="4">
        <v>9.8199999999999996E-2</v>
      </c>
      <c r="F23" s="5"/>
      <c r="G23" s="3"/>
      <c r="H23" s="3"/>
      <c r="I23" s="3"/>
      <c r="J23" s="3"/>
      <c r="K23" s="6"/>
      <c r="L23" s="2"/>
    </row>
    <row r="24" spans="1:12" x14ac:dyDescent="0.15">
      <c r="A24" s="2" t="s">
        <v>40</v>
      </c>
      <c r="B24" s="2" t="s">
        <v>41</v>
      </c>
      <c r="C24" s="3">
        <v>27.14</v>
      </c>
      <c r="D24" s="3">
        <v>0.9417580000000001</v>
      </c>
      <c r="E24" s="4">
        <v>3.4700000000000002E-2</v>
      </c>
      <c r="F24" s="5"/>
      <c r="G24" s="3"/>
      <c r="H24" s="3"/>
      <c r="I24" s="3"/>
      <c r="J24" s="3"/>
      <c r="K24" s="6"/>
      <c r="L24" s="2"/>
    </row>
    <row r="25" spans="1:12" x14ac:dyDescent="0.15">
      <c r="A25" s="10" t="s">
        <v>40</v>
      </c>
      <c r="B25" s="10" t="s">
        <v>42</v>
      </c>
      <c r="C25" s="11">
        <v>8.83</v>
      </c>
      <c r="D25" s="11">
        <v>0.18013199999999999</v>
      </c>
      <c r="E25" s="12">
        <v>2.0400000000000001E-2</v>
      </c>
      <c r="F25" s="13">
        <v>3300</v>
      </c>
      <c r="G25" s="11">
        <v>8.7799999999999994</v>
      </c>
      <c r="H25" s="11">
        <f>F25*C25</f>
        <v>29139</v>
      </c>
      <c r="I25" s="11">
        <f>F25*G25</f>
        <v>28973.999999999996</v>
      </c>
      <c r="J25" s="11">
        <f>F25*C25*E25</f>
        <v>594.43560000000002</v>
      </c>
      <c r="K25" s="14" t="s">
        <v>43</v>
      </c>
      <c r="L25" s="10"/>
    </row>
    <row r="26" spans="1:12" x14ac:dyDescent="0.15">
      <c r="A26" s="10" t="s">
        <v>44</v>
      </c>
      <c r="B26" s="10" t="s">
        <v>45</v>
      </c>
      <c r="C26" s="11">
        <v>37.4</v>
      </c>
      <c r="D26" s="11">
        <v>4</v>
      </c>
      <c r="E26" s="12">
        <v>0.08</v>
      </c>
      <c r="F26" s="13">
        <v>300</v>
      </c>
      <c r="G26" s="11">
        <v>38.49</v>
      </c>
      <c r="H26" s="11">
        <f>F26*C26</f>
        <v>11220</v>
      </c>
      <c r="I26" s="11">
        <f>F26*G26</f>
        <v>11547</v>
      </c>
      <c r="J26" s="11">
        <f>F26*C26*E26</f>
        <v>897.6</v>
      </c>
      <c r="K26" s="14"/>
      <c r="L26" s="10"/>
    </row>
    <row r="27" spans="1:12" x14ac:dyDescent="0.15">
      <c r="A27" s="2"/>
      <c r="B27" s="2"/>
      <c r="C27" s="3"/>
      <c r="D27" s="3"/>
      <c r="E27" s="4"/>
      <c r="F27" s="5"/>
      <c r="G27" s="3"/>
      <c r="H27" s="3"/>
      <c r="I27" s="3"/>
      <c r="J27" s="3"/>
      <c r="K27" s="6"/>
      <c r="L27" s="2"/>
    </row>
    <row r="28" spans="1:12" x14ac:dyDescent="0.15">
      <c r="A28" s="2"/>
      <c r="B28" s="2"/>
      <c r="C28" s="3"/>
      <c r="D28" s="3"/>
      <c r="E28" s="4"/>
      <c r="F28" s="5"/>
      <c r="G28" s="3"/>
      <c r="H28" s="3"/>
      <c r="I28" s="3"/>
      <c r="J28" s="3"/>
      <c r="K28" s="6"/>
      <c r="L28" s="2"/>
    </row>
    <row r="29" spans="1:12" x14ac:dyDescent="0.15">
      <c r="A29" s="2"/>
      <c r="B29" s="2"/>
      <c r="C29" s="3"/>
      <c r="D29" s="3"/>
      <c r="E29" s="4"/>
      <c r="F29" s="5"/>
      <c r="G29" s="3"/>
      <c r="H29" s="3"/>
      <c r="I29" s="3"/>
      <c r="J29" s="3"/>
      <c r="K29" s="6"/>
      <c r="L29" s="2"/>
    </row>
    <row r="30" spans="1:12" x14ac:dyDescent="0.15">
      <c r="A30" s="2"/>
      <c r="B30" s="2"/>
      <c r="C30" s="3"/>
      <c r="D30" s="3"/>
      <c r="E30" s="4"/>
      <c r="F30" s="5"/>
      <c r="G30" s="3"/>
      <c r="H30" s="3"/>
      <c r="I30" s="3"/>
      <c r="J30" s="3"/>
      <c r="K30" s="6"/>
      <c r="L30" s="2"/>
    </row>
    <row r="31" spans="1:12" x14ac:dyDescent="0.15">
      <c r="A31" s="2"/>
      <c r="B31" s="2"/>
      <c r="C31" s="3"/>
      <c r="D31" s="3"/>
      <c r="E31" s="4"/>
      <c r="F31" s="5"/>
      <c r="G31" s="3"/>
      <c r="H31" s="3"/>
      <c r="I31" s="3"/>
      <c r="J31" s="3"/>
      <c r="K31" s="6"/>
      <c r="L31" s="2"/>
    </row>
    <row r="32" spans="1:12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27" customHeight="1" x14ac:dyDescent="0.15">
      <c r="A33" s="7" t="s">
        <v>46</v>
      </c>
      <c r="B33" s="2"/>
      <c r="C33" s="2"/>
      <c r="D33" s="2"/>
      <c r="E33" s="2"/>
      <c r="F33" s="2"/>
      <c r="G33" s="2"/>
      <c r="H33" s="8">
        <f>SUM(H8:H32)</f>
        <v>126241</v>
      </c>
      <c r="I33" s="8">
        <f>SUM(I8:I32)</f>
        <v>134253</v>
      </c>
      <c r="J33" s="8">
        <f>SUM(J8:J32)</f>
        <v>5862.3407999999999</v>
      </c>
      <c r="K33" s="15" t="str">
        <f>"总股息率: "&amp;TEXT(IFERROR(J33/I33,0),"0.00%")</f>
        <v>总股息率: 4.37%</v>
      </c>
      <c r="L33" s="9">
        <v>2.93117E-2</v>
      </c>
    </row>
    <row r="34" spans="1:12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股息目标测算表（年度20W）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hspcadmin</cp:lastModifiedBy>
  <dcterms:created xsi:type="dcterms:W3CDTF">2026-03-08T06:06:56Z</dcterms:created>
  <dcterms:modified xsi:type="dcterms:W3CDTF">2026-03-08T08:47:40Z</dcterms:modified>
</cp:coreProperties>
</file>